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현재_통합_문서"/>
  <mc:AlternateContent xmlns:mc="http://schemas.openxmlformats.org/markup-compatibility/2006">
    <mc:Choice Requires="x15">
      <x15ac:absPath xmlns:x15ac="http://schemas.microsoft.com/office/spreadsheetml/2010/11/ac" url="C:\Users\shhwang.ITEMBAY\Desktop\"/>
    </mc:Choice>
  </mc:AlternateContent>
  <bookViews>
    <workbookView xWindow="0" yWindow="0" windowWidth="28800" windowHeight="9615"/>
  </bookViews>
  <sheets>
    <sheet name="개발팀" sheetId="11" r:id="rId1"/>
    <sheet name="CS팀" sheetId="7" r:id="rId2"/>
    <sheet name="회계팀" sheetId="6" r:id="rId3"/>
    <sheet name="마케팅팀" sheetId="8" r:id="rId4"/>
  </sheets>
  <functionGroups builtInGroupCount="18"/>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5" i="11" l="1"/>
  <c r="E7" i="11"/>
  <c r="C6" i="6" l="1"/>
  <c r="B18" i="6"/>
  <c r="B21" i="6"/>
  <c r="B17" i="6"/>
  <c r="B19" i="6"/>
  <c r="B20" i="6"/>
  <c r="B22" i="6"/>
  <c r="B16" i="6"/>
  <c r="C6" i="7" l="1"/>
</calcChain>
</file>

<file path=xl/sharedStrings.xml><?xml version="1.0" encoding="utf-8"?>
<sst xmlns="http://schemas.openxmlformats.org/spreadsheetml/2006/main" count="37" uniqueCount="36">
  <si>
    <t>질문을 작성하세요!</t>
    <phoneticPr fontId="1" type="noConversion"/>
  </si>
  <si>
    <t>최종 GPT Prompt</t>
    <phoneticPr fontId="1" type="noConversion"/>
  </si>
  <si>
    <t>분석할 재무제표를
복사/붙여넣기 하세요</t>
    <phoneticPr fontId="1" type="noConversion"/>
  </si>
  <si>
    <t>분석할 문장 개수</t>
    <phoneticPr fontId="1" type="noConversion"/>
  </si>
  <si>
    <t>## 설문 조사 분석 (CS팀)</t>
    <phoneticPr fontId="1" type="noConversion"/>
  </si>
  <si>
    <t>1. 베이글 편하고 좋아요</t>
  </si>
  <si>
    <t>2. 첨엔 익숙치 않아 불편했지만 익숙해지면 편하다</t>
  </si>
  <si>
    <t>3. 기본 검색 불편함</t>
  </si>
  <si>
    <t>4. 새롭고 익숙해지면 더 편할 것 같다</t>
  </si>
  <si>
    <t>5. 기존 게임 검색도 있었고, 익숙해지면 짱이 될 것 같다</t>
  </si>
  <si>
    <t>6. 베이글 혜택 많고 좋고, 검색 키워드 붉은색으로 표시됨</t>
  </si>
  <si>
    <t>7. 갑자기 바뀌니 적응해야함</t>
  </si>
  <si>
    <t>8. 거래사기꾼들 대처 방법 고민해야함</t>
  </si>
  <si>
    <t>9. 대기시간 30분 시간낭비 바람</t>
  </si>
  <si>
    <t>10. 기존으로 하는게 나을 것 같다</t>
  </si>
  <si>
    <t>## 재무제표 분석(회계팀)</t>
    <phoneticPr fontId="1" type="noConversion"/>
  </si>
  <si>
    <t>• Based on the data provided, the total number of transactions in 2023 is projected to be 5,452,362.</t>
  </si>
  <si>
    <t>• The total transaction value in 2023 is projected to be 845,636,570.</t>
  </si>
  <si>
    <t>• The total transaction fees in 2023 is projected to be 458,965,450.</t>
  </si>
  <si>
    <t>• The total operating profit in 2023 is projected to be 254,684,515.</t>
  </si>
  <si>
    <t>• Compared to 2021, the total number of transactions in 2023 is expected to increase by 1,000,007.</t>
  </si>
  <si>
    <t>• Compared to 2021, the total transaction value in 2023 is expected to increase by 88,681,730.</t>
  </si>
  <si>
    <t>• Compared to 2021, the total operating profit in 2023 is expected to decrease by 99,850,340.</t>
  </si>
  <si>
    <t>https://www.itembay.com/ 크롤링 소스 만들어 줘</t>
    <phoneticPr fontId="1" type="noConversion"/>
  </si>
  <si>
    <t>import requests_x000D_
from bs4 import BeautifulSoup_x000D_
_x000D_
url = 'https://www.itembay.com/'_x000D_
_x000D_
response = requests.get(url)_x000D_
soup = BeautifulSoup(response.text, 'html.parser')_x000D_
_x000D_
# 타이틀 가져오기_x000D_
title = soup.find('title').text_x000D_
print(title)_x000D_
_x000D_
# 메뉴 가져오기_x000D_
menu_list = soup.find_all('li', class_='menu-item')_x000D_
for menu in menu_list:_x000D_
 print(menu.find('a').text)_x000D_
_x000D_
# 메인 이미지 가져오기_x000D_
main_img = soup.find('div', class_='main-visual').find('img')['src']_x000D_
print(main_img)_x000D_
_x000D_
# 메인 이미지 밑에 나오는 메뉴 가져오기_x000D_
sub_menu_list = soup.find('ul', class_='sub-menu-list').find_all('li')_x000D_
for sub_menu in sub_menu_list:_x000D_
 print(sub_menu.find('a').text)_x000D_
_x000D_
# 상품 리스트 가져오기_x000D_
product_list = soup.find('ul', class_='product-list').find_all('li')_x000D_
for product in product_list:_x000D_
 print(product.find('a')['title'])</t>
    <phoneticPr fontId="1" type="noConversion"/>
  </si>
  <si>
    <t>## 파이썬 크롤링 코드 만들기 (마케팅)</t>
    <phoneticPr fontId="1" type="noConversion"/>
  </si>
  <si>
    <t>date 2022년 12월 30일 2021년 12월 30일 2020년 12월 30일
number of transactions 5,452,362 4,452,355 4,666,855
transaction amount 845,636,570 756,954,840 784,569,870
transaction fee 458,965,450 415,485,650 385,456,840
operating profit 254,684,515 354,534,855 168,795,455</t>
    <phoneticPr fontId="1" type="noConversion"/>
  </si>
  <si>
    <t xml:space="preserve"> </t>
    <phoneticPr fontId="1" type="noConversion"/>
  </si>
  <si>
    <t>검수 할 코드를 입력하세요</t>
    <phoneticPr fontId="1" type="noConversion"/>
  </si>
  <si>
    <t>import java.io.IOException;
import javax.servlet.ServletException;
import javax.servlet.annotation.WebServlet;
import javax.servlet.http.HttpServlet;
import javax.servlet.http.HttpServletRequest;
import javax.servlet.http.HttpServletResponse;
@WebServlet("/login")
public class LoginServlet extends HttpServlet {
    private static final long serialVersionUID = 1L;
    protected void doPost(HttpServletRequest request, HttpServletResponse response) throws ServletException, IOException {
        String id = request.getParameter("id");
        String password = request.getParameter("password");
        // 아이디와 비밀번호를 검증하는 코드 작성
        if (/* 아이디와 비밀번호가 올바를 경우 */) {
            response.sendRedirect("welcome.jsp");
        } else {
            response.sendRedirect("login.jsp");
        }
    }
}</t>
    <phoneticPr fontId="1" type="noConversion"/>
  </si>
  <si>
    <t>The code above is a secure coding example. To make it more secure, the following changes should be made:_x000D_
_x000D_
1. Validate the user input for the id and password fields to ensure that they are not malicious._x000D_
2. Use a secure connection (HTTPS) for the login page._x000D_
3. Use a secure hashing algorithm to store the passwords in the database._x000D_
4. Implement a session timeout to ensure that the user is logged out after a certain period of inactivity._x000D_
5. Use a CAPTCHA to prevent automated login attempts._x000D_
6. Implement two-factor authentication for additional security.</t>
    <phoneticPr fontId="1" type="noConversion"/>
  </si>
  <si>
    <t>## 시큐어 코딩 검수(개발팀)</t>
    <phoneticPr fontId="1" type="noConversion"/>
  </si>
  <si>
    <t>설문 조사 내용을 입력하세요</t>
    <phoneticPr fontId="1" type="noConversion"/>
  </si>
  <si>
    <t>추출할 개수</t>
    <phoneticPr fontId="1" type="noConversion"/>
  </si>
  <si>
    <t xml:space="preserve">엑셀 VBA' + GPT APT </t>
    <phoneticPr fontId="1" type="noConversion"/>
  </si>
  <si>
    <t xml:space="preserve">
첨엔 익숙치 안아서 불편했는데  막상 써보니 괸잔네요!
먼저번 처럼 기본검색은 어캐하나요?  불편함.
새롭네요 적응하면 더 편할듯요
게임.서버 체크하면 기본 검색도 가능하고~ 전 조흔데요
괜히 업뎃을 한게 아니겟죠 언제그랫냐는듯 익숙해질듯
첨엔 어색했는데 익숙해지니 편하네요 ㅋㅋ
처음이라 낯설지만 익수해지면 정말 짱일거 같아요 ??
베이글 응원합니다 쭉욱~~~~~~~~~~~~축하해요
베이가 혜택많고 제일좋아요 바램 판매후 판매글순서안바뀌
검색키워드가 붉은색으로 표시돼서 한눈에 보여요 ~~~~
</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</si>
</sst>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9" x14ac:knownFonts="1">
    <font>
      <sz val="11"/>
      <color theme="1"/>
      <name val="맑은 고딕"/>
      <family val="2"/>
      <charset val="129"/>
      <scheme val="minor"/>
    </font>
    <font>
      <sz val="8"/>
      <name val="맑은 고딕"/>
      <family val="2"/>
      <charset val="129"/>
      <scheme val="minor"/>
    </font>
    <font>
      <sz val="9"/>
      <color theme="1"/>
      <name val="맑은 고딕"/>
      <family val="3"/>
      <charset val="129"/>
      <scheme val="minor"/>
    </font>
    <font>
      <sz val="9"/>
      <name val="맑은 고딕"/>
      <family val="3"/>
      <charset val="129"/>
      <scheme val="minor"/>
    </font>
    <font>
      <u/>
      <sz val="11"/>
      <color theme="10"/>
      <name val="맑은 고딕"/>
      <family val="2"/>
      <charset val="129"/>
      <scheme val="minor"/>
    </font>
    <font>
      <b/>
      <sz val="9"/>
      <name val="맑은 고딕"/>
      <family val="3"/>
      <charset val="129"/>
      <scheme val="minor"/>
    </font>
    <font>
      <sz val="9"/>
      <color theme="0" tint="-0.499984740745262"/>
      <name val="맑은 고딕"/>
      <family val="3"/>
      <charset val="129"/>
      <scheme val="minor"/>
    </font>
    <font>
      <b/>
      <sz val="9"/>
      <color theme="0" tint="-0.499984740745262"/>
      <name val="맑은 고딕"/>
      <family val="3"/>
      <charset val="129"/>
      <scheme val="minor"/>
    </font>
    <font>
      <b/>
      <sz val="20"/>
      <color theme="1"/>
      <name val="맑은 고딕"/>
      <family val="3"/>
      <charset val="129"/>
      <scheme val="minor"/>
    </font>
  </fonts>
  <fills count="2">
    <fill>
      <patternFill patternType="none"/>
    </fill>
    <fill>
      <patternFill patternType="gray125"/>
    </fill>
  </fills>
  <borders count="6">
    <border>
      <left/>
      <right/>
      <top/>
      <bottom/>
      <diagonal/>
    </border>
    <border>
      <left style="thick">
        <color rgb="FF00B050"/>
      </left>
      <right style="hair">
        <color theme="0" tint="-0.499984740745262"/>
      </right>
      <top style="hair">
        <color theme="0" tint="-0.499984740745262"/>
      </top>
      <bottom style="hair">
        <color theme="0" tint="-0.499984740745262"/>
      </bottom>
      <diagonal/>
    </border>
    <border>
      <left style="hair">
        <color theme="0" tint="-0.499984740745262"/>
      </left>
      <right style="hair">
        <color theme="0" tint="-0.499984740745262"/>
      </right>
      <top style="hair">
        <color theme="0" tint="-0.499984740745262"/>
      </top>
      <bottom style="hair">
        <color theme="0" tint="-0.499984740745262"/>
      </bottom>
      <diagonal/>
    </border>
    <border>
      <left style="thick">
        <color rgb="FF0066FF"/>
      </left>
      <right/>
      <top style="hair">
        <color theme="0" tint="-0.499984740745262"/>
      </top>
      <bottom style="hair">
        <color theme="0" tint="-0.499984740745262"/>
      </bottom>
      <diagonal/>
    </border>
    <border>
      <left/>
      <right style="hair">
        <color theme="0" tint="-0.499984740745262"/>
      </right>
      <top style="hair">
        <color theme="0" tint="-0.499984740745262"/>
      </top>
      <bottom style="hair">
        <color theme="0" tint="-0.499984740745262"/>
      </bottom>
      <diagonal/>
    </border>
    <border>
      <left style="thick">
        <color rgb="FFFF3399"/>
      </left>
      <right/>
      <top style="hair">
        <color theme="0" tint="-0.499984740745262"/>
      </top>
      <bottom style="hair">
        <color theme="0" tint="-0.499984740745262"/>
      </bottom>
      <diagonal/>
    </border>
  </borders>
  <cellStyleXfs count="2">
    <xf numFmtId="0" fontId="0" fillId="0" borderId="0">
      <alignment vertical="center"/>
    </xf>
    <xf numFmtId="0" fontId="4" fillId="0" borderId="0" applyNumberFormat="0" applyFill="0" applyBorder="0" applyAlignment="0" applyProtection="0">
      <alignment vertical="center"/>
    </xf>
  </cellStyleXfs>
  <cellXfs count="27">
    <xf numFmtId="0" fontId="0" fillId="0" borderId="0" xfId="0">
      <alignment vertical="center"/>
    </xf>
    <xf numFmtId="0" fontId="2" fillId="0" borderId="0" xfId="0" applyFont="1">
      <alignment vertical="center"/>
    </xf>
    <xf numFmtId="0" fontId="5" fillId="0" borderId="1" xfId="0" applyFont="1" applyBorder="1" applyAlignment="1">
      <alignment horizontal="center" vertical="center"/>
    </xf>
    <xf numFmtId="0" fontId="2" fillId="0" borderId="2" xfId="0" applyFont="1" applyBorder="1" applyAlignment="1">
      <alignment horizontal="center" vertical="center"/>
    </xf>
    <xf numFmtId="0" fontId="5" fillId="0" borderId="0" xfId="0" applyFont="1" applyAlignment="1">
      <alignment horizontal="center" vertical="center"/>
    </xf>
    <xf numFmtId="0" fontId="2" fillId="0" borderId="0" xfId="0" applyFont="1" applyAlignment="1">
      <alignment horizontal="center" vertical="center"/>
    </xf>
    <xf numFmtId="0" fontId="6" fillId="0" borderId="2" xfId="0" applyFont="1" applyBorder="1" applyAlignment="1">
      <alignment horizontal="center" vertical="center" wrapText="1"/>
    </xf>
    <xf numFmtId="0" fontId="7" fillId="0" borderId="1" xfId="0" applyFont="1" applyBorder="1" applyAlignment="1">
      <alignment horizontal="center" vertical="center"/>
    </xf>
    <xf numFmtId="0" fontId="2" fillId="0" borderId="0" xfId="0" applyFont="1" applyAlignment="1">
      <alignment horizontal="left" vertical="center" indent="1"/>
    </xf>
    <xf numFmtId="0" fontId="5" fillId="0" borderId="1" xfId="0" applyFont="1" applyBorder="1" applyAlignment="1">
      <alignment horizontal="center" vertical="center" wrapText="1"/>
    </xf>
    <xf numFmtId="0" fontId="2" fillId="0" borderId="2" xfId="0" applyFont="1" applyBorder="1" applyAlignment="1">
      <alignment horizontal="left" vertical="center" wrapText="1"/>
    </xf>
    <xf numFmtId="0" fontId="4" fillId="0" borderId="0" xfId="1" quotePrefix="1">
      <alignment vertical="center"/>
    </xf>
    <xf numFmtId="0" fontId="3" fillId="0" borderId="5" xfId="0" applyFont="1" applyBorder="1" applyAlignment="1">
      <alignment vertical="top" wrapText="1"/>
    </xf>
    <xf numFmtId="0" fontId="8" fillId="0" borderId="0" xfId="0" applyFont="1">
      <alignment vertical="center"/>
    </xf>
    <xf numFmtId="0" fontId="4" fillId="0" borderId="2" xfId="1" applyBorder="1" applyAlignment="1">
      <alignment horizontal="center" vertical="center" wrapText="1"/>
    </xf>
    <xf numFmtId="0" fontId="5" fillId="0" borderId="0" xfId="0" applyFont="1" applyBorder="1" applyAlignment="1">
      <alignment horizontal="center" vertical="center"/>
    </xf>
    <xf numFmtId="0" fontId="4" fillId="0" borderId="0" xfId="1" applyBorder="1" applyAlignment="1">
      <alignment horizontal="center" vertical="center" wrapText="1"/>
    </xf>
    <xf numFmtId="0" fontId="2" fillId="0" borderId="0" xfId="0" applyFont="1" applyAlignment="1">
      <alignment horizontal="left" vertical="center"/>
    </xf>
    <xf numFmtId="0" fontId="4" fillId="0" borderId="2" xfId="1" applyBorder="1" applyAlignment="1">
      <alignment horizontal="left" vertical="center" wrapText="1"/>
    </xf>
    <xf numFmtId="0" fontId="3" fillId="0" borderId="3" xfId="0" applyFont="1" applyBorder="1" applyAlignment="1">
      <alignment horizontal="left" vertical="top" wrapText="1"/>
    </xf>
    <xf numFmtId="0" fontId="3" fillId="0" borderId="4" xfId="0" applyFont="1" applyBorder="1" applyAlignment="1">
      <alignment horizontal="left" vertical="top" wrapText="1"/>
    </xf>
    <xf numFmtId="0" fontId="3" fillId="0" borderId="3" xfId="0" applyFont="1" applyBorder="1" applyAlignment="1">
      <alignment horizontal="left" vertical="center" indent="1"/>
    </xf>
    <xf numFmtId="0" fontId="3" fillId="0" borderId="4" xfId="0" applyFont="1" applyBorder="1" applyAlignment="1">
      <alignment horizontal="left" vertical="center" indent="1"/>
    </xf>
    <xf numFmtId="0" fontId="3" fillId="0" borderId="3" xfId="0" applyFont="1" applyBorder="1" applyAlignment="1">
      <alignment horizontal="left" vertical="center" wrapText="1" indent="1"/>
    </xf>
    <xf numFmtId="0" fontId="3" fillId="0" borderId="5" xfId="0" applyFont="1" applyBorder="1" applyAlignment="1">
      <alignment horizontal="left" vertical="center" indent="1"/>
    </xf>
    <xf numFmtId="0" fontId="3" fillId="0" borderId="3" xfId="0" applyFont="1" applyBorder="1" applyAlignment="1">
      <alignment horizontal="center" vertical="center" wrapText="1"/>
    </xf>
    <xf numFmtId="0" fontId="3" fillId="0" borderId="4" xfId="0" applyFont="1" applyBorder="1" applyAlignment="1">
      <alignment horizontal="center" vertical="center" wrapText="1"/>
    </xf>
  </cellXfs>
  <cellStyles count="2">
    <cellStyle name="표준" xfId="0" builtinId="0"/>
    <cellStyle name="하이퍼링크" xfId="1" builtinId="8"/>
  </cellStyles>
  <dxfs count="0"/>
  <tableStyles count="0" defaultTableStyle="TableStyleMedium2" defaultPivotStyle="PivotStyleLight16"/>
  <colors>
    <mruColors>
      <color rgb="FF00602B"/>
      <color rgb="FF0066FF"/>
      <color rgb="FF0000FF"/>
      <color rgb="FFFF3399"/>
      <color rgb="FFEFF6E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642731</xdr:colOff>
      <xdr:row>2</xdr:row>
      <xdr:rowOff>79513</xdr:rowOff>
    </xdr:from>
    <xdr:to>
      <xdr:col>2</xdr:col>
      <xdr:colOff>296045</xdr:colOff>
      <xdr:row>2</xdr:row>
      <xdr:rowOff>328897</xdr:rowOff>
    </xdr:to>
    <xdr:pic>
      <xdr:nvPicPr>
        <xdr:cNvPr id="2" name="그림 1">
          <a:extLst>
            <a:ext uri="{FF2B5EF4-FFF2-40B4-BE49-F238E27FC236}">
              <a16:creationId xmlns:a16="http://schemas.microsoft.com/office/drawing/2014/main" id="{39F8F7F1-4CFB-6D03-EB8B-AF0086AB91C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85556" y="736738"/>
          <a:ext cx="1729764" cy="249384"/>
        </a:xfrm>
        <a:prstGeom prst="rect">
          <a:avLst/>
        </a:prstGeom>
      </xdr:spPr>
    </xdr:pic>
    <xdr:clientData/>
  </xdr:twoCellAnchor>
  <xdr:twoCellAnchor editAs="oneCell">
    <xdr:from>
      <xdr:col>0</xdr:col>
      <xdr:colOff>666835</xdr:colOff>
      <xdr:row>5</xdr:row>
      <xdr:rowOff>156626</xdr:rowOff>
    </xdr:from>
    <xdr:to>
      <xdr:col>1</xdr:col>
      <xdr:colOff>953573</xdr:colOff>
      <xdr:row>5</xdr:row>
      <xdr:rowOff>406010</xdr:rowOff>
    </xdr:to>
    <xdr:pic>
      <xdr:nvPicPr>
        <xdr:cNvPr id="3" name="그림 2">
          <a:extLst>
            <a:ext uri="{FF2B5EF4-FFF2-40B4-BE49-F238E27FC236}">
              <a16:creationId xmlns:a16="http://schemas.microsoft.com/office/drawing/2014/main" id="{609E5721-7023-21A0-CDA7-79938AAC662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81085" y="1613951"/>
          <a:ext cx="953488" cy="249384"/>
        </a:xfrm>
        <a:prstGeom prst="rect">
          <a:avLst/>
        </a:prstGeom>
      </xdr:spPr>
    </xdr:pic>
    <xdr:clientData/>
  </xdr:twoCellAnchor>
  <xdr:twoCellAnchor editAs="oneCell">
    <xdr:from>
      <xdr:col>2</xdr:col>
      <xdr:colOff>2264019</xdr:colOff>
      <xdr:row>5</xdr:row>
      <xdr:rowOff>51289</xdr:rowOff>
    </xdr:from>
    <xdr:to>
      <xdr:col>2</xdr:col>
      <xdr:colOff>3934893</xdr:colOff>
      <xdr:row>5</xdr:row>
      <xdr:rowOff>422594</xdr:rowOff>
    </xdr:to>
    <xdr:pic macro="[0]!MyGPT_secure">
      <xdr:nvPicPr>
        <xdr:cNvPr id="6" name="그림 5">
          <a:extLst>
            <a:ext uri="{FF2B5EF4-FFF2-40B4-BE49-F238E27FC236}">
              <a16:creationId xmlns:a16="http://schemas.microsoft.com/office/drawing/2014/main" id="{C454B6EF-906E-D4D0-C936-7D6BF8DC5404}"/>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083294" y="1508614"/>
          <a:ext cx="1670874" cy="371305"/>
        </a:xfrm>
        <a:prstGeom prst="rect">
          <a:avLst/>
        </a:prstGeom>
      </xdr:spPr>
    </xdr:pic>
    <xdr:clientData/>
  </xdr:twoCellAnchor>
  <xdr:twoCellAnchor editAs="absolute">
    <xdr:from>
      <xdr:col>4</xdr:col>
      <xdr:colOff>73270</xdr:colOff>
      <xdr:row>5</xdr:row>
      <xdr:rowOff>65942</xdr:rowOff>
    </xdr:from>
    <xdr:to>
      <xdr:col>4</xdr:col>
      <xdr:colOff>1558745</xdr:colOff>
      <xdr:row>5</xdr:row>
      <xdr:rowOff>366673</xdr:rowOff>
    </xdr:to>
    <xdr:pic>
      <xdr:nvPicPr>
        <xdr:cNvPr id="7" name="그림 6">
          <a:extLst>
            <a:ext uri="{FF2B5EF4-FFF2-40B4-BE49-F238E27FC236}">
              <a16:creationId xmlns:a16="http://schemas.microsoft.com/office/drawing/2014/main" id="{ECE0B6EF-8409-4D00-8004-A05A0E0F457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044712" y="3861288"/>
          <a:ext cx="1485475" cy="3007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1</xdr:col>
      <xdr:colOff>234552</xdr:colOff>
      <xdr:row>2</xdr:row>
      <xdr:rowOff>99428</xdr:rowOff>
    </xdr:from>
    <xdr:to>
      <xdr:col>2</xdr:col>
      <xdr:colOff>101844</xdr:colOff>
      <xdr:row>2</xdr:row>
      <xdr:rowOff>352381</xdr:rowOff>
    </xdr:to>
    <xdr:pic>
      <xdr:nvPicPr>
        <xdr:cNvPr id="5" name="그림 4">
          <a:extLst>
            <a:ext uri="{FF2B5EF4-FFF2-40B4-BE49-F238E27FC236}">
              <a16:creationId xmlns:a16="http://schemas.microsoft.com/office/drawing/2014/main" id="{D6E86DE6-0BE8-4D01-A59F-519E1700EC31}"/>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40817" y="1013828"/>
          <a:ext cx="1735657" cy="252953"/>
        </a:xfrm>
        <a:prstGeom prst="rect">
          <a:avLst/>
        </a:prstGeom>
      </xdr:spPr>
    </xdr:pic>
    <xdr:clientData/>
  </xdr:twoCellAnchor>
  <xdr:twoCellAnchor editAs="oneCell">
    <xdr:from>
      <xdr:col>1</xdr:col>
      <xdr:colOff>8965</xdr:colOff>
      <xdr:row>6</xdr:row>
      <xdr:rowOff>207982</xdr:rowOff>
    </xdr:from>
    <xdr:to>
      <xdr:col>1</xdr:col>
      <xdr:colOff>968760</xdr:colOff>
      <xdr:row>6</xdr:row>
      <xdr:rowOff>457366</xdr:rowOff>
    </xdr:to>
    <xdr:pic>
      <xdr:nvPicPr>
        <xdr:cNvPr id="6" name="그림 5">
          <a:extLst>
            <a:ext uri="{FF2B5EF4-FFF2-40B4-BE49-F238E27FC236}">
              <a16:creationId xmlns:a16="http://schemas.microsoft.com/office/drawing/2014/main" id="{02510446-3B56-423A-BD2E-A00EB0CD10D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71905" y="4040842"/>
          <a:ext cx="959795" cy="249384"/>
        </a:xfrm>
        <a:prstGeom prst="rect">
          <a:avLst/>
        </a:prstGeom>
      </xdr:spPr>
    </xdr:pic>
    <xdr:clientData/>
  </xdr:twoCellAnchor>
  <xdr:twoCellAnchor editAs="oneCell">
    <xdr:from>
      <xdr:col>2</xdr:col>
      <xdr:colOff>2262556</xdr:colOff>
      <xdr:row>6</xdr:row>
      <xdr:rowOff>99648</xdr:rowOff>
    </xdr:from>
    <xdr:to>
      <xdr:col>2</xdr:col>
      <xdr:colOff>3933430</xdr:colOff>
      <xdr:row>6</xdr:row>
      <xdr:rowOff>470953</xdr:rowOff>
    </xdr:to>
    <xdr:pic macro="[0]!MyGPT_Keyword">
      <xdr:nvPicPr>
        <xdr:cNvPr id="13" name="그림 12">
          <a:extLst>
            <a:ext uri="{FF2B5EF4-FFF2-40B4-BE49-F238E27FC236}">
              <a16:creationId xmlns:a16="http://schemas.microsoft.com/office/drawing/2014/main" id="{C454B6EF-906E-D4D0-C936-7D6BF8DC5404}"/>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794741" y="4284786"/>
          <a:ext cx="1670874" cy="37130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absolute">
    <xdr:from>
      <xdr:col>1</xdr:col>
      <xdr:colOff>337002</xdr:colOff>
      <xdr:row>2</xdr:row>
      <xdr:rowOff>32146</xdr:rowOff>
    </xdr:from>
    <xdr:to>
      <xdr:col>2</xdr:col>
      <xdr:colOff>202256</xdr:colOff>
      <xdr:row>2</xdr:row>
      <xdr:rowOff>284844</xdr:rowOff>
    </xdr:to>
    <xdr:pic>
      <xdr:nvPicPr>
        <xdr:cNvPr id="5" name="그림 4">
          <a:extLst>
            <a:ext uri="{FF2B5EF4-FFF2-40B4-BE49-F238E27FC236}">
              <a16:creationId xmlns:a16="http://schemas.microsoft.com/office/drawing/2014/main" id="{65DC3851-9CB9-426B-8FFD-C92BA193D4B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90159" y="1175146"/>
          <a:ext cx="1733619" cy="252698"/>
        </a:xfrm>
        <a:prstGeom prst="rect">
          <a:avLst/>
        </a:prstGeom>
      </xdr:spPr>
    </xdr:pic>
    <xdr:clientData/>
  </xdr:twoCellAnchor>
  <xdr:twoCellAnchor editAs="oneCell">
    <xdr:from>
      <xdr:col>1</xdr:col>
      <xdr:colOff>30480</xdr:colOff>
      <xdr:row>6</xdr:row>
      <xdr:rowOff>184534</xdr:rowOff>
    </xdr:from>
    <xdr:to>
      <xdr:col>1</xdr:col>
      <xdr:colOff>990275</xdr:colOff>
      <xdr:row>6</xdr:row>
      <xdr:rowOff>433918</xdr:rowOff>
    </xdr:to>
    <xdr:pic>
      <xdr:nvPicPr>
        <xdr:cNvPr id="6" name="그림 5">
          <a:extLst>
            <a:ext uri="{FF2B5EF4-FFF2-40B4-BE49-F238E27FC236}">
              <a16:creationId xmlns:a16="http://schemas.microsoft.com/office/drawing/2014/main" id="{440211D3-F9E9-4919-BCF5-2149E57946E1}"/>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01040" y="4817494"/>
          <a:ext cx="959795" cy="249384"/>
        </a:xfrm>
        <a:prstGeom prst="rect">
          <a:avLst/>
        </a:prstGeom>
      </xdr:spPr>
    </xdr:pic>
    <xdr:clientData/>
  </xdr:twoCellAnchor>
  <xdr:twoCellAnchor editAs="oneCell">
    <xdr:from>
      <xdr:col>2</xdr:col>
      <xdr:colOff>2279382</xdr:colOff>
      <xdr:row>6</xdr:row>
      <xdr:rowOff>53340</xdr:rowOff>
    </xdr:from>
    <xdr:to>
      <xdr:col>2</xdr:col>
      <xdr:colOff>3950256</xdr:colOff>
      <xdr:row>6</xdr:row>
      <xdr:rowOff>424645</xdr:rowOff>
    </xdr:to>
    <xdr:pic macro="[0]!MyGPT_Keyword">
      <xdr:nvPicPr>
        <xdr:cNvPr id="7" name="그림 6">
          <a:extLst>
            <a:ext uri="{FF2B5EF4-FFF2-40B4-BE49-F238E27FC236}">
              <a16:creationId xmlns:a16="http://schemas.microsoft.com/office/drawing/2014/main" id="{09A2C20E-9D6C-40EC-90F0-6DF4BE5FAC32}"/>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816842" y="4686300"/>
          <a:ext cx="1670874" cy="37130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642731</xdr:colOff>
      <xdr:row>2</xdr:row>
      <xdr:rowOff>79513</xdr:rowOff>
    </xdr:from>
    <xdr:to>
      <xdr:col>2</xdr:col>
      <xdr:colOff>296045</xdr:colOff>
      <xdr:row>2</xdr:row>
      <xdr:rowOff>328897</xdr:rowOff>
    </xdr:to>
    <xdr:pic>
      <xdr:nvPicPr>
        <xdr:cNvPr id="32" name="그림 31">
          <a:extLst>
            <a:ext uri="{FF2B5EF4-FFF2-40B4-BE49-F238E27FC236}">
              <a16:creationId xmlns:a16="http://schemas.microsoft.com/office/drawing/2014/main" id="{39F8F7F1-4CFB-6D03-EB8B-AF0086AB91C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42731" y="980661"/>
          <a:ext cx="1731835" cy="249384"/>
        </a:xfrm>
        <a:prstGeom prst="rect">
          <a:avLst/>
        </a:prstGeom>
      </xdr:spPr>
    </xdr:pic>
    <xdr:clientData/>
  </xdr:twoCellAnchor>
  <xdr:twoCellAnchor editAs="oneCell">
    <xdr:from>
      <xdr:col>0</xdr:col>
      <xdr:colOff>666835</xdr:colOff>
      <xdr:row>4</xdr:row>
      <xdr:rowOff>156626</xdr:rowOff>
    </xdr:from>
    <xdr:to>
      <xdr:col>1</xdr:col>
      <xdr:colOff>953573</xdr:colOff>
      <xdr:row>4</xdr:row>
      <xdr:rowOff>406010</xdr:rowOff>
    </xdr:to>
    <xdr:pic>
      <xdr:nvPicPr>
        <xdr:cNvPr id="34" name="그림 33">
          <a:extLst>
            <a:ext uri="{FF2B5EF4-FFF2-40B4-BE49-F238E27FC236}">
              <a16:creationId xmlns:a16="http://schemas.microsoft.com/office/drawing/2014/main" id="{609E5721-7023-21A0-CDA7-79938AAC662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835" y="2157704"/>
          <a:ext cx="955973" cy="249384"/>
        </a:xfrm>
        <a:prstGeom prst="rect">
          <a:avLst/>
        </a:prstGeom>
      </xdr:spPr>
    </xdr:pic>
    <xdr:clientData/>
  </xdr:twoCellAnchor>
  <xdr:twoCellAnchor>
    <xdr:from>
      <xdr:col>3</xdr:col>
      <xdr:colOff>131118</xdr:colOff>
      <xdr:row>2</xdr:row>
      <xdr:rowOff>324716</xdr:rowOff>
    </xdr:from>
    <xdr:to>
      <xdr:col>11</xdr:col>
      <xdr:colOff>7325</xdr:colOff>
      <xdr:row>5</xdr:row>
      <xdr:rowOff>146537</xdr:rowOff>
    </xdr:to>
    <xdr:sp macro="" textlink="">
      <xdr:nvSpPr>
        <xdr:cNvPr id="5" name="사각형: 둥근 모서리 4">
          <a:extLst>
            <a:ext uri="{FF2B5EF4-FFF2-40B4-BE49-F238E27FC236}">
              <a16:creationId xmlns:a16="http://schemas.microsoft.com/office/drawing/2014/main" id="{7D26D041-99E1-09E7-AD61-257C9659E54E}"/>
            </a:ext>
          </a:extLst>
        </xdr:cNvPr>
        <xdr:cNvSpPr/>
      </xdr:nvSpPr>
      <xdr:spPr>
        <a:xfrm>
          <a:off x="5890080" y="984139"/>
          <a:ext cx="5210207" cy="1052744"/>
        </a:xfrm>
        <a:prstGeom prst="roundRect">
          <a:avLst>
            <a:gd name="adj" fmla="val 10079"/>
          </a:avLst>
        </a:prstGeom>
        <a:solidFill>
          <a:schemeClr val="bg1"/>
        </a:solidFill>
        <a:ln w="12700">
          <a:solidFill>
            <a:srgbClr val="0066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ko-KR" altLang="en-US" sz="900" b="1">
              <a:solidFill>
                <a:schemeClr val="accent1">
                  <a:lumMod val="75000"/>
                </a:schemeClr>
              </a:solidFill>
              <a:latin typeface="+mn-ea"/>
              <a:ea typeface="+mn-ea"/>
            </a:rPr>
            <a:t>크롤링 이란</a:t>
          </a:r>
          <a:r>
            <a:rPr lang="en-US" altLang="ko-KR" sz="900" b="1">
              <a:solidFill>
                <a:schemeClr val="accent1">
                  <a:lumMod val="75000"/>
                </a:schemeClr>
              </a:solidFill>
              <a:latin typeface="+mn-ea"/>
              <a:ea typeface="+mn-ea"/>
            </a:rPr>
            <a:t>?</a:t>
          </a:r>
          <a:r>
            <a:rPr lang="ko-KR" altLang="en-US" sz="900" b="1">
              <a:solidFill>
                <a:schemeClr val="accent1">
                  <a:lumMod val="75000"/>
                </a:schemeClr>
              </a:solidFill>
              <a:latin typeface="+mn-ea"/>
              <a:ea typeface="+mn-ea"/>
            </a:rPr>
            <a:t> </a:t>
          </a:r>
          <a:r>
            <a:rPr lang="en-US" altLang="ko-KR" sz="900" b="1">
              <a:solidFill>
                <a:schemeClr val="accent1">
                  <a:lumMod val="75000"/>
                </a:schemeClr>
              </a:solidFill>
              <a:latin typeface="+mn-ea"/>
              <a:ea typeface="+mn-ea"/>
            </a:rPr>
            <a:t>: </a:t>
          </a:r>
          <a:r>
            <a:rPr lang="ko-KR" altLang="en-US" sz="900" b="1">
              <a:solidFill>
                <a:schemeClr val="accent1">
                  <a:lumMod val="75000"/>
                </a:schemeClr>
              </a:solidFill>
              <a:latin typeface="+mn-ea"/>
              <a:ea typeface="+mn-ea"/>
            </a:rPr>
            <a:t>웹 페이지를 그대로 가져와서 거기서 데이터를 추출해 내는 행위</a:t>
          </a:r>
          <a:r>
            <a:rPr lang="en-US" altLang="ko-KR" sz="900" b="1">
              <a:solidFill>
                <a:schemeClr val="accent1">
                  <a:lumMod val="75000"/>
                </a:schemeClr>
              </a:solidFill>
              <a:latin typeface="+mn-ea"/>
              <a:ea typeface="+mn-ea"/>
            </a:rPr>
            <a:t> </a:t>
          </a:r>
          <a:endParaRPr lang="ko-KR" altLang="en-US" sz="900" b="0">
            <a:solidFill>
              <a:schemeClr val="accent1">
                <a:lumMod val="75000"/>
              </a:schemeClr>
            </a:solidFill>
            <a:latin typeface="+mn-ea"/>
            <a:ea typeface="+mn-ea"/>
          </a:endParaRPr>
        </a:p>
      </xdr:txBody>
    </xdr:sp>
    <xdr:clientData/>
  </xdr:twoCellAnchor>
  <xdr:twoCellAnchor editAs="oneCell">
    <xdr:from>
      <xdr:col>2</xdr:col>
      <xdr:colOff>2264019</xdr:colOff>
      <xdr:row>4</xdr:row>
      <xdr:rowOff>51289</xdr:rowOff>
    </xdr:from>
    <xdr:to>
      <xdr:col>2</xdr:col>
      <xdr:colOff>3934893</xdr:colOff>
      <xdr:row>4</xdr:row>
      <xdr:rowOff>422594</xdr:rowOff>
    </xdr:to>
    <xdr:pic macro="[0]!MyGPT_Crawling">
      <xdr:nvPicPr>
        <xdr:cNvPr id="15" name="그림 14">
          <a:extLst>
            <a:ext uri="{FF2B5EF4-FFF2-40B4-BE49-F238E27FC236}">
              <a16:creationId xmlns:a16="http://schemas.microsoft.com/office/drawing/2014/main" id="{C454B6EF-906E-D4D0-C936-7D6BF8DC5404}"/>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081096" y="1736481"/>
          <a:ext cx="1670874" cy="371305"/>
        </a:xfrm>
        <a:prstGeom prst="rect">
          <a:avLst/>
        </a:prstGeom>
      </xdr:spPr>
    </xdr:pic>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hyperlink" Target="https://www.itembay.com/%20&#53356;&#47204;&#47553;%20&#49548;&#49828;%20&#47564;&#46308;&#50612;%20&#51480;"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1:H17"/>
  <sheetViews>
    <sheetView showGridLines="0" tabSelected="1" zoomScale="115" zoomScaleNormal="115" workbookViewId="0">
      <selection activeCell="E4" sqref="E4"/>
    </sheetView>
  </sheetViews>
  <sheetFormatPr defaultColWidth="8.75" defaultRowHeight="12" x14ac:dyDescent="0.3"/>
  <cols>
    <col min="1" max="1" width="5" style="1" customWidth="1"/>
    <col min="2" max="2" width="18.875" style="1" customWidth="1"/>
    <col min="3" max="3" width="51.75" style="1" customWidth="1"/>
    <col min="4" max="4" width="2.75" style="1" customWidth="1"/>
    <col min="5" max="5" width="77.5" style="1" customWidth="1"/>
    <col min="6" max="16384" width="8.75" style="1"/>
  </cols>
  <sheetData>
    <row r="1" spans="2:8" ht="10.9" customHeight="1" x14ac:dyDescent="0.3"/>
    <row r="2" spans="2:8" ht="41.45" customHeight="1" x14ac:dyDescent="0.3">
      <c r="B2" s="13" t="s">
        <v>31</v>
      </c>
      <c r="C2"/>
    </row>
    <row r="3" spans="2:8" ht="30" customHeight="1" x14ac:dyDescent="0.3">
      <c r="E3" s="1" t="s">
        <v>34</v>
      </c>
    </row>
    <row r="4" spans="2:8" ht="216.75" customHeight="1" x14ac:dyDescent="0.3">
      <c r="B4" s="2" t="s">
        <v>28</v>
      </c>
      <c r="C4" s="18" t="s">
        <v>29</v>
      </c>
      <c r="E4" s="17"/>
    </row>
    <row r="5" spans="2:8" ht="129.75" hidden="1" customHeight="1" x14ac:dyDescent="0.3">
      <c r="B5" s="15"/>
      <c r="C5" s="16" t="str">
        <f>"
Please check the code below for secure coding " &amp; C4</f>
        <v xml:space="preserve">
Please check the code below for secure coding import java.io.IOException;
import javax.servlet.ServletException;
import javax.servlet.annotation.WebServlet;
import javax.servlet.http.HttpServlet;
import javax.servlet.http.HttpServletRequest;
import javax.servlet.http.HttpServletResponse;
@WebServlet("/login")
public class LoginServlet extends HttpServlet {
    private static final long serialVersionUID = 1L;
    protected void doPost(HttpServletRequest request, HttpServletResponse response) throws ServletException, IOException {
        String id = request.getParameter("id");
        String password = request.getParameter("password");
        // 아이디와 비밀번호를 검증하는 코드 작성
        if (/* 아이디와 비밀번호가 올바를 경우 */) {
            response.sendRedirect("welcome.jsp");
        } else {
            response.sendRedirect("login.jsp");
        }
    }
}</v>
      </c>
    </row>
    <row r="6" spans="2:8" ht="34.15" customHeight="1" x14ac:dyDescent="0.3">
      <c r="B6" s="4"/>
      <c r="C6" s="5"/>
    </row>
    <row r="7" spans="2:8" ht="212.45" customHeight="1" x14ac:dyDescent="0.3">
      <c r="B7" s="19" t="s">
        <v>30</v>
      </c>
      <c r="C7" s="20"/>
      <c r="D7"/>
      <c r="E7" s="12" t="str">
        <f>GoogleTranslate(B7)</f>
        <v>위의 코드는 보안 코딩 예제입니다. 보안을 강화하려면 다음과 같이 변경해야 합니다. 1. id 및 password 필드에 대한 사용자 입력의 유효성을 검사하여 악의적이지 않은지 확인합니다. 2. 로그인 페이지에 보안 연결(HTTPS)을 사용합니다. 3. 보안 해싱 알고리즘을 사용하여 데이터베이스에 암호를 저장합니다. 4. 특정 기간 동안 활동이 없으면 사용자가 로그아웃되도록 세션 시간 초과를 구현합니다. 5. CAPTCHA를 사용하여 자동 로그인 시도를 방지합니다. 6. 추가 보안을 위해 2단계 인증을 구현합니다.</v>
      </c>
      <c r="F7"/>
      <c r="G7" s="1" t="s">
        <v>27</v>
      </c>
      <c r="H7"/>
    </row>
    <row r="8" spans="2:8" ht="11.45" customHeight="1" x14ac:dyDescent="0.3">
      <c r="B8" s="8"/>
    </row>
    <row r="9" spans="2:8" ht="24.6" customHeight="1" x14ac:dyDescent="0.3">
      <c r="B9" s="8"/>
    </row>
    <row r="10" spans="2:8" ht="24.6" customHeight="1" x14ac:dyDescent="0.3">
      <c r="B10" s="8"/>
    </row>
    <row r="11" spans="2:8" ht="24.6" customHeight="1" x14ac:dyDescent="0.3">
      <c r="B11" s="8"/>
    </row>
    <row r="12" spans="2:8" ht="24.6" customHeight="1" x14ac:dyDescent="0.3">
      <c r="B12" s="8"/>
    </row>
    <row r="13" spans="2:8" ht="24.6" customHeight="1" x14ac:dyDescent="0.3">
      <c r="B13" s="8"/>
    </row>
    <row r="14" spans="2:8" ht="22.9" customHeight="1" x14ac:dyDescent="0.3">
      <c r="B14" s="8"/>
    </row>
    <row r="15" spans="2:8" ht="23.45" customHeight="1" x14ac:dyDescent="0.3">
      <c r="B15" s="8"/>
    </row>
    <row r="17" spans="2:2" ht="23.45" customHeight="1" x14ac:dyDescent="0.3">
      <c r="B17" s="8"/>
    </row>
  </sheetData>
  <mergeCells count="1">
    <mergeCell ref="B7:C7"/>
  </mergeCells>
  <phoneticPr fontId="1" type="noConversion"/>
  <dataValidations count="1">
    <dataValidation type="decimal" allowBlank="1" showInputMessage="1" showErrorMessage="1" sqref="C6">
      <formula1>0</formula1>
      <formula2>1</formula2>
    </dataValidation>
  </dataValidation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1:C24"/>
  <sheetViews>
    <sheetView showGridLines="0" topLeftCell="A4" zoomScale="115" zoomScaleNormal="115" workbookViewId="0">
      <selection activeCell="B4" sqref="B4:C5"/>
    </sheetView>
  </sheetViews>
  <sheetFormatPr defaultRowHeight="16.5" outlineLevelRow="1" x14ac:dyDescent="0.3"/>
  <cols>
    <col min="1" max="1" width="4" customWidth="1"/>
    <col min="2" max="2" width="24.5" customWidth="1"/>
    <col min="3" max="3" width="52.125" customWidth="1"/>
    <col min="4" max="4" width="4.25" customWidth="1"/>
    <col min="5" max="5" width="17.5" customWidth="1"/>
    <col min="6" max="6" width="60.25" customWidth="1"/>
  </cols>
  <sheetData>
    <row r="1" spans="2:3" ht="13.15" customHeight="1" x14ac:dyDescent="0.3"/>
    <row r="2" spans="2:3" ht="58.9" customHeight="1" x14ac:dyDescent="0.3">
      <c r="B2" s="13" t="s">
        <v>4</v>
      </c>
    </row>
    <row r="3" spans="2:3" ht="31.9" customHeight="1" x14ac:dyDescent="0.3"/>
    <row r="4" spans="2:3" ht="174.6" customHeight="1" x14ac:dyDescent="0.3">
      <c r="B4" s="9" t="s">
        <v>32</v>
      </c>
      <c r="C4" s="10" t="s">
        <v>35</v>
      </c>
    </row>
    <row r="5" spans="2:3" ht="23.45" customHeight="1" x14ac:dyDescent="0.3">
      <c r="B5" s="2" t="s">
        <v>33</v>
      </c>
      <c r="C5" s="3">
        <v>10</v>
      </c>
    </row>
    <row r="6" spans="2:3" ht="96.75" hidden="1" customHeight="1" outlineLevel="1" x14ac:dyDescent="0.3">
      <c r="B6" s="7" t="s">
        <v>1</v>
      </c>
      <c r="C6" s="6" t="str">
        <f>"
Please summarize the contents of the following Korean survey in " &amp; C5 &amp; " items in Korean. :" &amp; CHAR(10) &amp; C4</f>
        <v xml:space="preserve">
Please summarize the contents of the following Korean survey in 10 items in Korean. :
첨엔 익숙치 안아서 불편했는데  막상 써보니 괸잔네요!
먼저번 처럼 기본검색은 어캐하나요?  불편함.
새롭네요 적응하면 더 편할듯요
게임.서버 체크하면 기본 검색도 가능하고~ 전 조흔데요
괜히 업뎃을 한게 아니겟죠 언제그랫냐는듯 익숙해질듯
첨엔 어색했는데 익숙해지니 편하네요 ㅋㅋ
처음이라 낯설지만 익수해지면 정말 짱일거 같아요 ??
베이글 응원합니다 쭉욱~~~~~~~~~~~~축하해요
베이가 혜택많고 제일좋아요 바램 판매후 판매글순서안바뀌
검색키워드가 붉은색으로 표시돼서 한눈에 보여요 ~~~~
</v>
      </c>
    </row>
    <row r="7" spans="2:3" ht="40.9" customHeight="1" collapsed="1" x14ac:dyDescent="0.3"/>
    <row r="8" spans="2:3" ht="19.899999999999999" customHeight="1" x14ac:dyDescent="0.3">
      <c r="B8" s="23" t="s">
        <v>5</v>
      </c>
      <c r="C8" s="22"/>
    </row>
    <row r="9" spans="2:3" ht="19.899999999999999" customHeight="1" x14ac:dyDescent="0.3">
      <c r="B9" s="21" t="s">
        <v>6</v>
      </c>
      <c r="C9" s="22"/>
    </row>
    <row r="10" spans="2:3" ht="19.899999999999999" customHeight="1" x14ac:dyDescent="0.3">
      <c r="B10" s="21" t="s">
        <v>7</v>
      </c>
      <c r="C10" s="22"/>
    </row>
    <row r="11" spans="2:3" ht="19.899999999999999" customHeight="1" x14ac:dyDescent="0.3">
      <c r="B11" s="21" t="s">
        <v>8</v>
      </c>
      <c r="C11" s="22"/>
    </row>
    <row r="12" spans="2:3" ht="19.899999999999999" customHeight="1" x14ac:dyDescent="0.3">
      <c r="B12" s="21" t="s">
        <v>9</v>
      </c>
      <c r="C12" s="22"/>
    </row>
    <row r="13" spans="2:3" ht="19.899999999999999" customHeight="1" x14ac:dyDescent="0.3">
      <c r="B13" s="21" t="s">
        <v>10</v>
      </c>
      <c r="C13" s="22"/>
    </row>
    <row r="14" spans="2:3" ht="19.899999999999999" customHeight="1" x14ac:dyDescent="0.3">
      <c r="B14" s="21" t="s">
        <v>11</v>
      </c>
      <c r="C14" s="22"/>
    </row>
    <row r="15" spans="2:3" ht="19.899999999999999" customHeight="1" x14ac:dyDescent="0.3">
      <c r="B15" s="21" t="s">
        <v>12</v>
      </c>
      <c r="C15" s="22"/>
    </row>
    <row r="16" spans="2:3" ht="19.899999999999999" customHeight="1" x14ac:dyDescent="0.3">
      <c r="B16" s="21" t="s">
        <v>13</v>
      </c>
      <c r="C16" s="22"/>
    </row>
    <row r="17" spans="2:3" ht="19.899999999999999" customHeight="1" x14ac:dyDescent="0.3">
      <c r="B17" s="21" t="s">
        <v>14</v>
      </c>
      <c r="C17" s="22"/>
    </row>
    <row r="18" spans="2:3" ht="19.899999999999999" customHeight="1" x14ac:dyDescent="0.3">
      <c r="B18" s="21"/>
      <c r="C18" s="22"/>
    </row>
    <row r="19" spans="2:3" ht="19.899999999999999" customHeight="1" x14ac:dyDescent="0.3">
      <c r="B19" s="21"/>
      <c r="C19" s="22"/>
    </row>
    <row r="20" spans="2:3" ht="19.899999999999999" customHeight="1" x14ac:dyDescent="0.3">
      <c r="B20" s="21"/>
      <c r="C20" s="22"/>
    </row>
    <row r="21" spans="2:3" ht="19.899999999999999" customHeight="1" x14ac:dyDescent="0.3">
      <c r="B21" s="21"/>
      <c r="C21" s="22"/>
    </row>
    <row r="22" spans="2:3" ht="19.899999999999999" customHeight="1" x14ac:dyDescent="0.3">
      <c r="B22" s="21"/>
      <c r="C22" s="22"/>
    </row>
    <row r="23" spans="2:3" ht="19.899999999999999" customHeight="1" x14ac:dyDescent="0.3">
      <c r="B23" s="21"/>
      <c r="C23" s="22"/>
    </row>
    <row r="24" spans="2:3" ht="19.899999999999999" customHeight="1" x14ac:dyDescent="0.3">
      <c r="B24" s="21"/>
      <c r="C24" s="22"/>
    </row>
  </sheetData>
  <mergeCells count="17">
    <mergeCell ref="B19:C19"/>
    <mergeCell ref="B8:C8"/>
    <mergeCell ref="B9:C9"/>
    <mergeCell ref="B10:C10"/>
    <mergeCell ref="B11:C11"/>
    <mergeCell ref="B12:C12"/>
    <mergeCell ref="B13:C13"/>
    <mergeCell ref="B14:C14"/>
    <mergeCell ref="B15:C15"/>
    <mergeCell ref="B16:C16"/>
    <mergeCell ref="B17:C17"/>
    <mergeCell ref="B18:C18"/>
    <mergeCell ref="B20:C20"/>
    <mergeCell ref="B21:C21"/>
    <mergeCell ref="B22:C22"/>
    <mergeCell ref="B23:C23"/>
    <mergeCell ref="B24:C24"/>
  </mergeCells>
  <phoneticPr fontId="1"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1:E22"/>
  <sheetViews>
    <sheetView showGridLines="0" zoomScale="130" zoomScaleNormal="130" workbookViewId="0">
      <selection activeCell="F17" sqref="F17"/>
    </sheetView>
  </sheetViews>
  <sheetFormatPr defaultRowHeight="16.5" outlineLevelRow="1" x14ac:dyDescent="0.3"/>
  <cols>
    <col min="1" max="1" width="4.875" customWidth="1"/>
    <col min="2" max="2" width="24.5" customWidth="1"/>
    <col min="3" max="3" width="57.875" customWidth="1"/>
    <col min="4" max="4" width="4.5" customWidth="1"/>
  </cols>
  <sheetData>
    <row r="1" spans="2:5" x14ac:dyDescent="0.3">
      <c r="E1" s="11"/>
    </row>
    <row r="2" spans="2:5" ht="72.599999999999994" customHeight="1" x14ac:dyDescent="0.3">
      <c r="B2" s="13" t="s">
        <v>15</v>
      </c>
      <c r="E2" s="11"/>
    </row>
    <row r="3" spans="2:5" ht="24" customHeight="1" x14ac:dyDescent="0.3">
      <c r="E3" s="11"/>
    </row>
    <row r="4" spans="2:5" ht="233.45" customHeight="1" x14ac:dyDescent="0.3">
      <c r="B4" s="9" t="s">
        <v>2</v>
      </c>
      <c r="C4" s="10" t="s">
        <v>26</v>
      </c>
    </row>
    <row r="5" spans="2:5" x14ac:dyDescent="0.3">
      <c r="B5" s="2" t="s">
        <v>3</v>
      </c>
      <c r="C5" s="3">
        <v>7</v>
      </c>
    </row>
    <row r="6" spans="2:5" ht="96" hidden="1" outlineLevel="1" x14ac:dyDescent="0.3">
      <c r="B6" s="7" t="s">
        <v>1</v>
      </c>
      <c r="C6" s="6" t="str">
        <f>"
Analyze the table below and summarize your projected value for 2023 in " &amp; C5 &amp; " bulleted sentences." &amp; CHAR(10) &amp; C4</f>
        <v xml:space="preserve">
Analyze the table below and summarize your projected value for 2023 in 7 bulleted sentences.
date 2022년 12월 30일 2021년 12월 30일 2020년 12월 30일
number of transactions 5,452,362 4,452,355 4,666,855
transaction amount 845,636,570 756,954,840 784,569,870
transaction fee 458,965,450 415,485,650 385,456,840
operating profit 254,684,515 354,534,855 168,795,455</v>
      </c>
    </row>
    <row r="7" spans="2:5" ht="36.6" customHeight="1" collapsed="1" x14ac:dyDescent="0.3"/>
    <row r="8" spans="2:5" x14ac:dyDescent="0.3">
      <c r="B8" s="21" t="s">
        <v>16</v>
      </c>
      <c r="C8" s="22"/>
    </row>
    <row r="9" spans="2:5" x14ac:dyDescent="0.3">
      <c r="B9" s="21" t="s">
        <v>17</v>
      </c>
      <c r="C9" s="22"/>
    </row>
    <row r="10" spans="2:5" x14ac:dyDescent="0.3">
      <c r="B10" s="21" t="s">
        <v>18</v>
      </c>
      <c r="C10" s="22"/>
    </row>
    <row r="11" spans="2:5" x14ac:dyDescent="0.3">
      <c r="B11" s="21" t="s">
        <v>19</v>
      </c>
      <c r="C11" s="22"/>
    </row>
    <row r="12" spans="2:5" x14ac:dyDescent="0.3">
      <c r="B12" s="21" t="s">
        <v>20</v>
      </c>
      <c r="C12" s="22"/>
    </row>
    <row r="13" spans="2:5" x14ac:dyDescent="0.3">
      <c r="B13" s="21" t="s">
        <v>21</v>
      </c>
      <c r="C13" s="22"/>
    </row>
    <row r="14" spans="2:5" x14ac:dyDescent="0.3">
      <c r="B14" s="21" t="s">
        <v>22</v>
      </c>
      <c r="C14" s="22"/>
    </row>
    <row r="15" spans="2:5" ht="31.9" customHeight="1" x14ac:dyDescent="0.3"/>
    <row r="16" spans="2:5" x14ac:dyDescent="0.3">
      <c r="B16" s="24" t="str">
        <f>GoogleTranslate(B8)</f>
        <v>• 제공된 데이터를 기준으로 2023년 총 거래 건수는 5,452,362건으로 예상됩니다.</v>
      </c>
      <c r="C16" s="22"/>
    </row>
    <row r="17" spans="2:3" x14ac:dyDescent="0.3">
      <c r="B17" s="24" t="str">
        <f t="shared" ref="B17:B22" si="0">GoogleTranslate(B9)</f>
        <v>• 2023년 총 거래 금액은 845,636,570건이 될 것으로 예상됩니다.</v>
      </c>
      <c r="C17" s="22"/>
    </row>
    <row r="18" spans="2:3" x14ac:dyDescent="0.3">
      <c r="B18" s="24" t="str">
        <f t="shared" si="0"/>
        <v>• 2023년 총 거래 수수료는 458,965,450으로 예상됩니다.</v>
      </c>
      <c r="C18" s="22"/>
    </row>
    <row r="19" spans="2:3" x14ac:dyDescent="0.3">
      <c r="B19" s="24" t="str">
        <f t="shared" si="0"/>
        <v>• 2023년 총 영업이익은 254,684,515로 예상됩니다.</v>
      </c>
      <c r="C19" s="22"/>
    </row>
    <row r="20" spans="2:3" x14ac:dyDescent="0.3">
      <c r="B20" s="24" t="str">
        <f t="shared" si="0"/>
        <v>• 2021년 대비 2023년 총 거래 건수는 1,000,007건 증가할 것으로 예상됩니다.</v>
      </c>
      <c r="C20" s="22"/>
    </row>
    <row r="21" spans="2:3" x14ac:dyDescent="0.3">
      <c r="B21" s="24" t="str">
        <f t="shared" si="0"/>
        <v>• 2021년 대비 2023년 총 거래액은 88,681,730원 증가할 것으로 예상됩니다.</v>
      </c>
      <c r="C21" s="22"/>
    </row>
    <row r="22" spans="2:3" x14ac:dyDescent="0.3">
      <c r="B22" s="24" t="str">
        <f t="shared" si="0"/>
        <v>• 2021년 대비 2023년 총 영업이익은 99,850,340 감소할 것으로 예상됩니다.</v>
      </c>
      <c r="C22" s="22"/>
    </row>
  </sheetData>
  <mergeCells count="14">
    <mergeCell ref="B13:C13"/>
    <mergeCell ref="B8:C8"/>
    <mergeCell ref="B9:C9"/>
    <mergeCell ref="B10:C10"/>
    <mergeCell ref="B11:C11"/>
    <mergeCell ref="B12:C12"/>
    <mergeCell ref="B21:C21"/>
    <mergeCell ref="B22:C22"/>
    <mergeCell ref="B14:C14"/>
    <mergeCell ref="B16:C16"/>
    <mergeCell ref="B17:C17"/>
    <mergeCell ref="B18:C18"/>
    <mergeCell ref="B19:C19"/>
    <mergeCell ref="B20:C20"/>
  </mergeCells>
  <phoneticPr fontId="1" type="noConversion"/>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1:H16"/>
  <sheetViews>
    <sheetView showGridLines="0" zoomScale="130" zoomScaleNormal="130" workbookViewId="0">
      <selection activeCell="G6" sqref="G6"/>
    </sheetView>
  </sheetViews>
  <sheetFormatPr defaultColWidth="8.75" defaultRowHeight="12" x14ac:dyDescent="0.3"/>
  <cols>
    <col min="1" max="1" width="5" style="1" customWidth="1"/>
    <col min="2" max="2" width="18.875" style="1" customWidth="1"/>
    <col min="3" max="3" width="51.75" style="1" customWidth="1"/>
    <col min="4" max="16384" width="8.75" style="1"/>
  </cols>
  <sheetData>
    <row r="1" spans="2:8" ht="10.9" customHeight="1" x14ac:dyDescent="0.3"/>
    <row r="2" spans="2:8" ht="41.45" customHeight="1" x14ac:dyDescent="0.3">
      <c r="B2" s="13" t="s">
        <v>25</v>
      </c>
      <c r="C2"/>
    </row>
    <row r="3" spans="2:8" ht="30" customHeight="1" x14ac:dyDescent="0.3"/>
    <row r="4" spans="2:8" ht="33" customHeight="1" x14ac:dyDescent="0.3">
      <c r="B4" s="2" t="s">
        <v>0</v>
      </c>
      <c r="C4" s="14" t="s">
        <v>23</v>
      </c>
    </row>
    <row r="5" spans="2:8" ht="34.15" customHeight="1" x14ac:dyDescent="0.3">
      <c r="B5" s="4"/>
      <c r="C5" s="5"/>
    </row>
    <row r="6" spans="2:8" ht="212.45" customHeight="1" x14ac:dyDescent="0.3">
      <c r="B6" s="25" t="s">
        <v>24</v>
      </c>
      <c r="C6" s="26"/>
      <c r="D6"/>
      <c r="E6"/>
      <c r="F6"/>
      <c r="H6"/>
    </row>
    <row r="7" spans="2:8" ht="11.45" customHeight="1" x14ac:dyDescent="0.3">
      <c r="B7" s="8"/>
    </row>
    <row r="8" spans="2:8" ht="24.6" customHeight="1" x14ac:dyDescent="0.3">
      <c r="B8" s="8"/>
    </row>
    <row r="9" spans="2:8" ht="24.6" customHeight="1" x14ac:dyDescent="0.3">
      <c r="B9" s="8"/>
    </row>
    <row r="10" spans="2:8" ht="24.6" customHeight="1" x14ac:dyDescent="0.3">
      <c r="B10" s="8"/>
    </row>
    <row r="11" spans="2:8" ht="24.6" customHeight="1" x14ac:dyDescent="0.3">
      <c r="B11" s="8"/>
    </row>
    <row r="12" spans="2:8" ht="24.6" customHeight="1" x14ac:dyDescent="0.3">
      <c r="B12" s="8"/>
    </row>
    <row r="13" spans="2:8" ht="22.9" customHeight="1" x14ac:dyDescent="0.3">
      <c r="B13" s="8"/>
    </row>
    <row r="14" spans="2:8" ht="23.45" customHeight="1" x14ac:dyDescent="0.3">
      <c r="B14" s="8"/>
    </row>
    <row r="16" spans="2:8" ht="23.45" customHeight="1" x14ac:dyDescent="0.3">
      <c r="B16" s="8"/>
    </row>
  </sheetData>
  <mergeCells count="1">
    <mergeCell ref="B6:C6"/>
  </mergeCells>
  <phoneticPr fontId="1" type="noConversion"/>
  <dataValidations disablePrompts="1" count="1">
    <dataValidation type="decimal" allowBlank="1" showInputMessage="1" showErrorMessage="1" sqref="C5">
      <formula1>0</formula1>
      <formula2>1</formula2>
    </dataValidation>
  </dataValidations>
  <hyperlinks>
    <hyperlink ref="C4" r:id="rId1"/>
  </hyperlinks>
  <pageMargins left="0.7" right="0.7" top="0.75" bottom="0.75" header="0.3" footer="0.3"/>
  <pageSetup paperSize="9" orientation="portrait" r:id="rId2"/>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4</vt:i4>
      </vt:variant>
    </vt:vector>
  </HeadingPairs>
  <TitlesOfParts>
    <vt:vector size="4" baseType="lpstr">
      <vt:lpstr>개발팀</vt:lpstr>
      <vt:lpstr>CS팀</vt:lpstr>
      <vt:lpstr>회계팀</vt:lpstr>
      <vt:lpstr>마케팅팀</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오빠두엑셀</dc:creator>
  <cp:lastModifiedBy>황 승현</cp:lastModifiedBy>
  <dcterms:created xsi:type="dcterms:W3CDTF">2023-02-07T16:31:20Z</dcterms:created>
  <dcterms:modified xsi:type="dcterms:W3CDTF">2023-02-21T05:01:48Z</dcterms:modified>
</cp:coreProperties>
</file>